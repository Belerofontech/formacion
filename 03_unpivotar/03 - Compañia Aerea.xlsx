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30"/>
  <workbookPr/>
  <mc:AlternateContent xmlns:mc="http://schemas.openxmlformats.org/markup-compatibility/2006">
    <mc:Choice Requires="x15">
      <x15ac:absPath xmlns:x15ac="http://schemas.microsoft.com/office/spreadsheetml/2010/11/ac" url="https://belerofontech.sharepoint.com/sites/PowerBICmara2020467/Shared Documents/General/01 - Ejercicios Power Query/datasources/03_unpivotar/"/>
    </mc:Choice>
  </mc:AlternateContent>
  <xr:revisionPtr revIDLastSave="9" documentId="13_ncr:1_{9EBC65D4-CCDC-445F-9391-AE27227480C3}" xr6:coauthVersionLast="45" xr6:coauthVersionMax="45" xr10:uidLastSave="{EDE4563B-77D5-4ED3-A840-3727BD63D42A}"/>
  <bookViews>
    <workbookView xWindow="-120" yWindow="-120" windowWidth="20730" windowHeight="11760" activeTab="1" xr2:uid="{00000000-000D-0000-FFFF-FFFF00000000}"/>
  </bookViews>
  <sheets>
    <sheet name="Hoja1" sheetId="2" r:id="rId1"/>
    <sheet name="Hoja2" sheetId="3" r:id="rId2"/>
  </sheets>
  <calcPr calcId="171027" calcCompleted="0" calcOnSave="0"/>
  <pivotCaches>
    <pivotCache cacheId="40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ctual_85af6432-3c0f-4686-b9b7-6a0a1edc147f" name="Actual" connection="Consulta - Actual"/>
          <x15:modelTable id="Targests_c9fb4f86-4b57-444f-b9d5-38a7cb891078" name="Targests" connection="Consulta - Targests"/>
          <x15:modelTable id="Anexar1_0b5ada42-851d-48c0-a466-128a4257f75e" name="Anexar1" connection="Consulta - Anexar1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FD7CFB-F709-4135-BA76-2091A62AE075}" name="Consulta - Actual" description="Conexión a la consulta 'Actual' en el libro." type="100" refreshedVersion="6" minRefreshableVersion="5">
    <extLst>
      <ext xmlns:x15="http://schemas.microsoft.com/office/spreadsheetml/2010/11/main" uri="{DE250136-89BD-433C-8126-D09CA5730AF9}">
        <x15:connection id="873414ef-1486-47f6-8d80-4e522def947e"/>
      </ext>
    </extLst>
  </connection>
  <connection id="2" xr16:uid="{8E9C612D-EBE2-49F1-961C-BAB52BC25C18}" name="Consulta - Anexar1" description="Conexión a la consulta 'Anexar1' en el libro." type="100" refreshedVersion="6" minRefreshableVersion="5">
    <extLst>
      <ext xmlns:x15="http://schemas.microsoft.com/office/spreadsheetml/2010/11/main" uri="{DE250136-89BD-433C-8126-D09CA5730AF9}">
        <x15:connection id="92714439-a6a7-4e42-a34b-74c057895f55"/>
      </ext>
    </extLst>
  </connection>
  <connection id="3" xr16:uid="{E516A726-AA75-446A-B314-D339976B6EE4}" name="Consulta - Targests" description="Conexión a la consulta 'Targests' en el libro." type="100" refreshedVersion="6" minRefreshableVersion="5">
    <extLst>
      <ext xmlns:x15="http://schemas.microsoft.com/office/spreadsheetml/2010/11/main" uri="{DE250136-89BD-433C-8126-D09CA5730AF9}">
        <x15:connection id="79aebd6b-20da-4113-9683-084d292e76a6"/>
      </ext>
    </extLst>
  </connection>
  <connection id="4" xr16:uid="{BDECE464-6300-4DFB-A197-521BA486E80D}" keepAlive="1" name="ThisWorkbookDataModel" description="Modelo de dato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Anexar1].[Mes].&amp;[Dec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<sst xmlns="http://schemas.openxmlformats.org/spreadsheetml/2006/main" count="99" uniqueCount="41">
  <si>
    <t>Actuals</t>
  </si>
  <si>
    <t>Measure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</si>
  <si>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</si>
  <si>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</si>
  <si>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</si>
  <si>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</si>
  <si>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</si>
  <si>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</si>
  <si>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</si>
  <si>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</si>
  <si>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</si>
  <si>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</si>
  <si>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</si>
  <si>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</si>
  <si>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$ Revenues</t>
  </si>
  <si>
    <t>$ Expenses</t>
  </si>
  <si>
    <t>$ Profits</t>
  </si>
  <si>
    <t>Market Share</t>
  </si>
  <si>
    <t>Flights</t>
  </si>
  <si>
    <t>Passengers</t>
  </si>
  <si>
    <t>Miles</t>
  </si>
  <si>
    <t>Pssng. Miles</t>
  </si>
  <si>
    <t>Cancelled Flights</t>
  </si>
  <si>
    <t>Late Arrivals</t>
  </si>
  <si>
    <t>Minutes Late</t>
  </si>
  <si>
    <t>$ Fuel Costs</t>
  </si>
  <si>
    <t>Customer Satisfaction</t>
  </si>
  <si>
    <t>Flight Utilization</t>
  </si>
  <si>
    <t>Revenue / Pssng. Mile</t>
  </si>
  <si>
    <t>Profit / Mile</t>
  </si>
  <si>
    <t>Revenue / Mile</t>
  </si>
  <si>
    <t>Fuel Costs / Mile</t>
  </si>
  <si>
    <t>Profit / Pssng. Mile</t>
  </si>
  <si>
    <t>Revenue / Passenger</t>
  </si>
  <si>
    <t>Targets</t>
  </si>
  <si>
    <t>Jan2</t>
  </si>
  <si>
    <t>Etiquetas de fila</t>
  </si>
  <si>
    <t>Total general</t>
  </si>
  <si>
    <t>Etiquetas de columna</t>
  </si>
  <si>
    <t>Recuento de Valor</t>
  </si>
  <si>
    <t>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</si>
</sst>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(#,##0\);&quot;-  &quot;;&quot; &quot;@&quot; &quot;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Protection="0">
      <alignment vertical="top"/>
    </xf>
  </cellStyleXfs>
  <cellXfs count="5">
    <xf numFmtId="0" fontId="0" fillId="0" borderId="0" xfId="0"/>
    <xf numFmtId="164" fontId="1" fillId="0" borderId="0" xfId="1">
      <alignment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Normal 2" xfId="1" xr:uid="{13B8D77F-622A-4F94-BAD1-8146ADDD55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connections" Target="connections.xml"/><Relationship Id="rId15" Type="http://schemas.openxmlformats.org/officeDocument/2006/relationships/customXml" Target="../customXml/item6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enito Cuezva" refreshedDate="44144.74645810185" backgroundQuery="1" createdVersion="6" refreshedVersion="6" minRefreshableVersion="3" recordCount="0" supportSubquery="1" supportAdvancedDrill="1" xr:uid="{AAA5984A-B85D-40A7-B245-7AB5D8185FAD}">
  <cacheSource type="external" connectionId="4"/>
  <cacheFields count="4">
    <cacheField name="[Anexar1].[Measure].[Measure]" caption="Measure" numFmtId="0" hierarchy="3" level="1">
      <sharedItems count="20">
        <s v="$ Expenses"/>
        <s v="$ Fuel Costs"/>
        <s v="$ Profits"/>
        <s v="$ Revenues"/>
        <s v="Cancelled Flights"/>
        <s v="Customer Satisfaction"/>
        <s v="Flight Utilization"/>
        <s v="Flights"/>
        <s v="Fuel Costs / Mile"/>
        <s v="Late Arrivals"/>
        <s v="Market Share"/>
        <s v="Miles"/>
        <s v="Minutes Late"/>
        <s v="Passengers"/>
        <s v="Profit / Mile"/>
        <s v="Profit / Pssng. Mile"/>
        <s v="Pssng. Miles"/>
        <s v="Revenue / Mile"/>
        <s v="Revenue / Passenger"/>
        <s v="Revenue / Pssng. Mile"/>
      </sharedItems>
    </cacheField>
    <cacheField name="[Anexar1].[Tipo].[Tipo]" caption="Tipo" numFmtId="0" hierarchy="5" level="1">
      <sharedItems count="2">
        <s v="Actuals"/>
        <s v="Targets"/>
      </sharedItems>
    </cacheField>
    <cacheField name="[Measures].[Suma de Valor]" caption="Suma de Valor" numFmtId="0" hierarchy="14" level="32767"/>
    <cacheField name="[Anexar1].[Mes].[Mes]" caption="Mes" numFmtId="0" hierarchy="4" level="1">
      <sharedItems containsSemiMixedTypes="0" containsNonDate="0" containsString="0"/>
    </cacheField>
  </cacheFields>
  <cacheHierarchies count="15">
    <cacheHierarchy uniqueName="[Actual].[Measure]" caption="Measure" attribute="1" defaultMemberUniqueName="[Actual].[Measure].[All]" allUniqueName="[Actual].[Measure].[All]" dimensionUniqueName="[Actual]" displayFolder="" count="0" memberValueDatatype="130" unbalanced="0"/>
    <cacheHierarchy uniqueName="[Actual].[Atributo]" caption="Atributo" attribute="1" defaultMemberUniqueName="[Actual].[Atributo].[All]" allUniqueName="[Actual].[Atributo].[All]" dimensionUniqueName="[Actual]" displayFolder="" count="0" memberValueDatatype="130" unbalanced="0"/>
    <cacheHierarchy uniqueName="[Actual].[Actuals]" caption="Actuals" attribute="1" defaultMemberUniqueName="[Actual].[Actuals].[All]" allUniqueName="[Actual].[Actuals].[All]" dimensionUniqueName="[Actual]" displayFolder="" count="0" memberValueDatatype="5" unbalanced="0"/>
    <cacheHierarchy uniqueName="[Anexar1].[Measure]" caption="Measure" attribute="1" defaultMemberUniqueName="[Anexar1].[Measure].[All]" allUniqueName="[Anexar1].[Measure].[All]" dimensionUniqueName="[Anexar1]" displayFolder="" count="2" memberValueDatatype="130" unbalanced="0">
      <fieldsUsage count="2">
        <fieldUsage x="-1"/>
        <fieldUsage x="0"/>
      </fieldsUsage>
    </cacheHierarchy>
    <cacheHierarchy uniqueName="[Anexar1].[Mes]" caption="Mes" attribute="1" defaultMemberUniqueName="[Anexar1].[Mes].[All]" allUniqueName="[Anexar1].[Mes].[All]" dimensionUniqueName="[Anexar1]" displayFolder="" count="2" memberValueDatatype="130" unbalanced="0">
      <fieldsUsage count="2">
        <fieldUsage x="-1"/>
        <fieldUsage x="3"/>
      </fieldsUsage>
    </cacheHierarchy>
    <cacheHierarchy uniqueName="[Anexar1].[Tipo]" caption="Tipo" attribute="1" defaultMemberUniqueName="[Anexar1].[Tipo].[All]" allUniqueName="[Anexar1].[Tipo].[All]" dimensionUniqueName="[Anexar1]" displayFolder="" count="2" memberValueDatatype="130" unbalanced="0">
      <fieldsUsage count="2">
        <fieldUsage x="-1"/>
        <fieldUsage x="1"/>
      </fieldsUsage>
    </cacheHierarchy>
    <cacheHierarchy uniqueName="[Anexar1].[Valor]" caption="Valor" attribute="1" defaultMemberUniqueName="[Anexar1].[Valor].[All]" allUniqueName="[Anexar1].[Valor].[All]" dimensionUniqueName="[Anexar1]" displayFolder="" count="0" memberValueDatatype="5" unbalanced="0"/>
    <cacheHierarchy uniqueName="[Targests].[Measure]" caption="Measure" attribute="1" defaultMemberUniqueName="[Targests].[Measure].[All]" allUniqueName="[Targests].[Measure].[All]" dimensionUniqueName="[Targests]" displayFolder="" count="0" memberValueDatatype="130" unbalanced="0"/>
    <cacheHierarchy uniqueName="[Targests].[Atributo]" caption="Atributo" attribute="1" defaultMemberUniqueName="[Targests].[Atributo].[All]" allUniqueName="[Targests].[Atributo].[All]" dimensionUniqueName="[Targests]" displayFolder="" count="0" memberValueDatatype="130" unbalanced="0"/>
    <cacheHierarchy uniqueName="[Targests].[Targets]" caption="Targets" attribute="1" defaultMemberUniqueName="[Targests].[Targets].[All]" allUniqueName="[Targests].[Targets].[All]" dimensionUniqueName="[Targests]" displayFolder="" count="0" memberValueDatatype="5" unbalanced="0"/>
    <cacheHierarchy uniqueName="[Measures].[__XL_Count Actual]" caption="__XL_Count Actual" measure="1" displayFolder="" measureGroup="Actual" count="0" hidden="1"/>
    <cacheHierarchy uniqueName="[Measures].[__XL_Count Targests]" caption="__XL_Count Targests" measure="1" displayFolder="" measureGroup="Targests" count="0" hidden="1"/>
    <cacheHierarchy uniqueName="[Measures].[__XL_Count Anexar1]" caption="__XL_Count Anexar1" measure="1" displayFolder="" measureGroup="Anexar1" count="0" hidden="1"/>
    <cacheHierarchy uniqueName="[Measures].[__No measures defined]" caption="__No measures defined" measure="1" displayFolder="" count="0" hidden="1"/>
    <cacheHierarchy uniqueName="[Measures].[Suma de Valor]" caption="Suma de Valor" measure="1" displayFolder="" measureGroup="Anexar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4">
    <dimension name="Actual" uniqueName="[Actual]" caption="Actual"/>
    <dimension name="Anexar1" uniqueName="[Anexar1]" caption="Anexar1"/>
    <dimension measure="1" name="Measures" uniqueName="[Measures]" caption="Measures"/>
    <dimension name="Targests" uniqueName="[Targests]" caption="Targests"/>
  </dimensions>
  <measureGroups count="3">
    <measureGroup name="Actual" caption="Actual"/>
    <measureGroup name="Anexar1" caption="Anexar1"/>
    <measureGroup name="Targests" caption="Targests"/>
  </measureGroups>
  <maps count="3">
    <map measureGroup="0" dimension="0"/>
    <map measureGroup="1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FB6B33-A0AD-4DA7-A128-2BACAA5300D0}" name="TablaDinámica5" cacheId="40" applyNumberFormats="0" applyBorderFormats="0" applyFontFormats="0" applyPatternFormats="0" applyAlignmentFormats="0" applyWidthHeightFormats="1" dataCaption="Valores" tag="d26f4983-363a-48ad-b6b1-60390707ad0f" updatedVersion="6" minRefreshableVersion="3" useAutoFormatting="1" itemPrintTitles="1" createdVersion="6" indent="0" outline="1" outlineData="1" multipleFieldFilters="0">
  <location ref="D7:G29" firstHeaderRow="1" firstDataRow="2" firstDataCol="1" rowPageCount="1" colPageCount="1"/>
  <pivotFields count="4">
    <pivotField axis="axisRow" allDrilled="1" subtotalTop="0" showAll="0" dataSourceSort="1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1">
    <pageField fld="3" hier="4" name="[Anexar1].[Mes].&amp;[Dec]" cap="Dec"/>
  </pageFields>
  <dataFields count="1">
    <dataField name="Recuento de Valor" fld="2" subtotal="count" baseField="0" baseItem="0"/>
  </dataField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nexar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2DFB49-7C06-438D-B86C-E4BA1E31EE7C}" name="Tabla1" displayName="Tabla1" ref="A2:N22" totalsRowShown="0" headerRowCellStyle="Normal 2" dataCellStyle="Normal 2">
  <autoFilter ref="A2:N22" xr:uid="{6E8E94B3-26E8-456B-9CB9-C4C8A2A3010B}"/>
  <tableColumns count="14">
    <tableColumn id="1" xr3:uid="{DFBB16AD-FA17-47A0-AF10-5EDB131CE3DA}" name="Measure" dataCellStyle="Normal 2"/>
    <tableColumn id="2" xr3:uid="{8E3E7D73-2FAE-407A-B170-51B3CDECED89}" name="Jan" dataCellStyle="Normal 2"/>
    <tableColumn id="3" xr3:uid="{D73959BE-75A8-4E74-B501-62DC7A1F89D3}" name="Feb" dataCellStyle="Normal 2"/>
    <tableColumn id="4" xr3:uid="{1B7FD06C-83E7-4103-9155-B82A4C141AA0}" name="Mar" dataCellStyle="Normal 2"/>
    <tableColumn id="5" xr3:uid="{92C2A5BE-3B12-4F45-81BB-08F39B2E4552}" name="Apr" dataCellStyle="Normal 2"/>
    <tableColumn id="6" xr3:uid="{44BCBDD8-44BC-4609-A9A0-C1AC17A9652A}" name="May" dataCellStyle="Normal 2"/>
    <tableColumn id="7" xr3:uid="{E140D44A-50F4-49BA-AD9E-B05D515D0E83}" name="Jun" dataCellStyle="Normal 2"/>
    <tableColumn id="8" xr3:uid="{564634E2-8328-4356-92BF-584E96EBA945}" name="Jul" dataCellStyle="Normal 2"/>
    <tableColumn id="9" xr3:uid="{B192C20F-7222-42FB-9CAD-8486DCF360A5}" name="Aug" dataCellStyle="Normal 2"/>
    <tableColumn id="10" xr3:uid="{AB8FC218-5744-4480-B2CB-31631ABFFE1B}" name="Sep" dataCellStyle="Normal 2"/>
    <tableColumn id="11" xr3:uid="{0A343E53-253A-4A4C-BB4D-C9232F67E63B}" name="Oct" dataCellStyle="Normal 2"/>
    <tableColumn id="12" xr3:uid="{1CF2C848-BE5A-4647-80EE-D88EF59CD688}" name="Nov" dataCellStyle="Normal 2"/>
    <tableColumn id="13" xr3:uid="{724EC141-2871-46D0-9CBD-87D4048EF9E4}" name="Dec" dataCellStyle="Normal 2"/>
    <tableColumn id="14" xr3:uid="{8D69C827-998C-4A13-B15A-2C2BA52210D2}" name="Jan2" dataCellStyle="Normal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032725-EB99-482E-BC1E-80B38F2DB533}" name="Tabla2" displayName="Tabla2" ref="A26:N46" totalsRowShown="0" headerRowCellStyle="Normal 2" dataCellStyle="Normal 2">
  <autoFilter ref="A26:N46" xr:uid="{78A31C5C-696C-4CAF-B7B9-714099CE5B0E}"/>
  <tableColumns count="14">
    <tableColumn id="1" xr3:uid="{3293A715-D2CB-4B19-A477-2408656C2771}" name="Measure" dataCellStyle="Normal 2"/>
    <tableColumn id="2" xr3:uid="{0603277A-E084-4A99-A92C-4F1EF4D33458}" name="Jan" dataCellStyle="Normal 2"/>
    <tableColumn id="3" xr3:uid="{53318B52-1A43-41E3-A715-98CFACAE01C4}" name="Feb" dataCellStyle="Normal 2"/>
    <tableColumn id="4" xr3:uid="{FAAFFA26-3962-406E-A32E-EDAF53C53E2C}" name="Mar" dataCellStyle="Normal 2"/>
    <tableColumn id="5" xr3:uid="{35E736CD-AA31-4EB1-ACE4-DED90831F44C}" name="Apr" dataCellStyle="Normal 2"/>
    <tableColumn id="6" xr3:uid="{EBBA691C-618E-40E4-B5C7-C398567C3613}" name="May" dataCellStyle="Normal 2"/>
    <tableColumn id="7" xr3:uid="{6DCC7F61-9906-4082-9DF4-7DDBEDEB71D7}" name="Jun" dataCellStyle="Normal 2"/>
    <tableColumn id="8" xr3:uid="{F86B6614-57B1-4937-B9DA-2D33E6077E23}" name="Jul" dataCellStyle="Normal 2"/>
    <tableColumn id="9" xr3:uid="{8A31A8E2-0D6C-4A88-866F-BEF501BE417B}" name="Aug" dataCellStyle="Normal 2"/>
    <tableColumn id="10" xr3:uid="{B0377431-2F2D-4648-B6DA-911572DEB2F0}" name="Sep" dataCellStyle="Normal 2"/>
    <tableColumn id="11" xr3:uid="{FCDB23B0-FA0D-4D2C-BBFB-7B17409EBB88}" name="Oct" dataCellStyle="Normal 2"/>
    <tableColumn id="12" xr3:uid="{69FCD76B-DD32-416E-AE95-2804C87D2940}" name="Nov" dataCellStyle="Normal 2"/>
    <tableColumn id="13" xr3:uid="{3DD006ED-2B3F-4A6C-81F7-48A932608431}" name="Dec" dataCellStyle="Normal 2"/>
    <tableColumn id="14" xr3:uid="{703B3781-5AE9-40FD-A4D4-A21F66CA6910}" name="Jan2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6"/>
  <sheetViews>
    <sheetView topLeftCell="A15" zoomScale="85" zoomScaleNormal="85" workbookViewId="0">
      <selection activeCell="A26" sqref="A26:N46"/>
    </sheetView>
  </sheetViews>
  <sheetFormatPr baseColWidth="10" defaultColWidth="11.42578125" defaultRowHeight="15" x14ac:dyDescent="0.25"/>
  <cols>
    <col min="1" max="1" width="39.7109375" style="1" bestFit="1" customWidth="1"/>
    <col min="2" max="14" width="11.140625" style="1" bestFit="1" customWidth="1"/>
    <col min="15" max="16384" width="11.42578125" style="1"/>
  </cols>
  <sheetData>
    <row r="1" spans="1:14" x14ac:dyDescent="0.25">
      <c r="A1" s="1" t="s">
        <v>0</v>
      </c>
    </row>
    <row r="2" spans="1:14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35</v>
      </c>
    </row>
    <row r="3" spans="1:14" x14ac:dyDescent="0.25">
      <c r="A3" s="1" t="s">
        <v>14</v>
      </c>
      <c r="B3" s="1">
        <v>13983485</v>
      </c>
      <c r="C3" s="1">
        <v>18363744</v>
      </c>
      <c r="D3" s="1">
        <v>16028383</v>
      </c>
      <c r="E3" s="1">
        <v>15384773</v>
      </c>
      <c r="F3" s="1">
        <v>2528383</v>
      </c>
      <c r="G3" s="1">
        <v>15738844</v>
      </c>
      <c r="H3" s="1">
        <v>15388484</v>
      </c>
      <c r="I3" s="1">
        <v>17388433</v>
      </c>
      <c r="J3" s="1">
        <v>17436645</v>
      </c>
      <c r="K3" s="1">
        <v>17584775</v>
      </c>
      <c r="L3" s="1">
        <v>17455544</v>
      </c>
      <c r="M3" s="1">
        <v>18366833</v>
      </c>
      <c r="N3" s="1">
        <v>18133624.949999999</v>
      </c>
    </row>
    <row r="4" spans="1:14" x14ac:dyDescent="0.25">
      <c r="A4" s="1" t="s">
        <v>15</v>
      </c>
      <c r="B4" s="1">
        <v>9292568.25</v>
      </c>
      <c r="C4" s="1">
        <v>11235684.800000001</v>
      </c>
      <c r="D4" s="1">
        <v>10532772.35</v>
      </c>
      <c r="E4" s="1">
        <v>9723147.8499999996</v>
      </c>
      <c r="F4" s="1">
        <v>9778772.3499999996</v>
      </c>
      <c r="G4" s="1">
        <v>9272479.8000000007</v>
      </c>
      <c r="H4" s="1">
        <v>10024817.800000001</v>
      </c>
      <c r="I4" s="1">
        <v>10944794.85</v>
      </c>
      <c r="J4" s="1">
        <v>12646490.25</v>
      </c>
      <c r="K4" s="1">
        <v>12331348.75</v>
      </c>
      <c r="L4" s="1">
        <v>10535334</v>
      </c>
      <c r="M4" s="1">
        <v>11665484</v>
      </c>
      <c r="N4" s="1">
        <v>11358044.941666668</v>
      </c>
    </row>
    <row r="5" spans="1:14" x14ac:dyDescent="0.25">
      <c r="A5" s="1" t="s">
        <v>16</v>
      </c>
      <c r="B5" s="1">
        <v>4690916.75</v>
      </c>
      <c r="C5" s="1">
        <v>7128059.1999999993</v>
      </c>
      <c r="D5" s="1">
        <v>5495610.6500000004</v>
      </c>
      <c r="E5" s="1">
        <v>5661625.1500000004</v>
      </c>
      <c r="F5" s="1">
        <v>5249610.6500000004</v>
      </c>
      <c r="G5" s="1">
        <v>6466364.1999999993</v>
      </c>
      <c r="H5" s="1">
        <v>5363666.2</v>
      </c>
      <c r="I5" s="1">
        <v>6443638.1500000004</v>
      </c>
      <c r="J5" s="1">
        <v>4790154.75</v>
      </c>
      <c r="K5" s="1">
        <v>5253426.25</v>
      </c>
      <c r="L5" s="1">
        <v>6920210</v>
      </c>
      <c r="M5" s="1">
        <v>6701349</v>
      </c>
      <c r="N5" s="1">
        <v>6775580.008333331</v>
      </c>
    </row>
    <row r="6" spans="1:14" x14ac:dyDescent="0.25">
      <c r="A6" s="1" t="s">
        <v>17</v>
      </c>
      <c r="B6" s="1">
        <v>0.42</v>
      </c>
      <c r="C6" s="1">
        <v>0.43</v>
      </c>
      <c r="D6" s="1">
        <v>0.42</v>
      </c>
      <c r="E6" s="1">
        <v>0.42</v>
      </c>
      <c r="F6" s="1">
        <v>0.42</v>
      </c>
      <c r="G6" s="1">
        <v>0.42</v>
      </c>
      <c r="H6" s="1">
        <v>0.42</v>
      </c>
      <c r="I6" s="1">
        <v>0.43</v>
      </c>
      <c r="J6" s="1">
        <v>0.43</v>
      </c>
      <c r="K6" s="1">
        <v>0.43</v>
      </c>
      <c r="L6" s="1">
        <v>0.47</v>
      </c>
      <c r="M6" s="1">
        <v>0.47</v>
      </c>
      <c r="N6" s="1">
        <v>0.4416666666666666</v>
      </c>
    </row>
    <row r="7" spans="1:14" x14ac:dyDescent="0.25">
      <c r="A7" s="1" t="s">
        <v>18</v>
      </c>
      <c r="B7" s="1">
        <v>425</v>
      </c>
      <c r="C7" s="1">
        <v>498</v>
      </c>
      <c r="D7" s="1">
        <v>421</v>
      </c>
      <c r="E7" s="1">
        <v>424</v>
      </c>
      <c r="F7" s="1">
        <v>426</v>
      </c>
      <c r="G7" s="1">
        <v>425</v>
      </c>
      <c r="H7" s="1">
        <v>426</v>
      </c>
      <c r="I7" s="1">
        <v>450</v>
      </c>
      <c r="J7" s="1">
        <v>452</v>
      </c>
      <c r="K7" s="1">
        <v>451</v>
      </c>
      <c r="L7" s="1">
        <v>450</v>
      </c>
      <c r="M7" s="1">
        <v>446</v>
      </c>
      <c r="N7" s="1">
        <v>445.83333333333331</v>
      </c>
    </row>
    <row r="8" spans="1:14" x14ac:dyDescent="0.25">
      <c r="A8" s="1" t="s">
        <v>19</v>
      </c>
      <c r="B8" s="1">
        <v>52983</v>
      </c>
      <c r="C8" s="1">
        <v>63837</v>
      </c>
      <c r="D8" s="1">
        <v>50834</v>
      </c>
      <c r="E8" s="1">
        <v>49038</v>
      </c>
      <c r="F8" s="1">
        <v>51038</v>
      </c>
      <c r="G8" s="1">
        <v>54038</v>
      </c>
      <c r="H8" s="1">
        <v>56334</v>
      </c>
      <c r="I8" s="1">
        <v>58993</v>
      </c>
      <c r="J8" s="1">
        <v>60388</v>
      </c>
      <c r="K8" s="1">
        <v>60384</v>
      </c>
      <c r="L8" s="1">
        <v>60763</v>
      </c>
      <c r="M8" s="1">
        <v>61038</v>
      </c>
      <c r="N8" s="1">
        <v>63000</v>
      </c>
    </row>
    <row r="9" spans="1:14" x14ac:dyDescent="0.25">
      <c r="A9" s="1" t="s">
        <v>20</v>
      </c>
      <c r="B9" s="1">
        <v>318750</v>
      </c>
      <c r="C9" s="1">
        <v>375394</v>
      </c>
      <c r="D9" s="1">
        <v>305384</v>
      </c>
      <c r="E9" s="1">
        <v>316355</v>
      </c>
      <c r="F9" s="1">
        <v>320374</v>
      </c>
      <c r="G9" s="1">
        <v>329384</v>
      </c>
      <c r="H9" s="1">
        <v>330483</v>
      </c>
      <c r="I9" s="1">
        <v>357384</v>
      </c>
      <c r="J9" s="1">
        <v>347384</v>
      </c>
      <c r="K9" s="1">
        <v>348374</v>
      </c>
      <c r="L9" s="1">
        <v>349580</v>
      </c>
      <c r="M9" s="1">
        <v>345373</v>
      </c>
      <c r="N9" s="1">
        <v>346429.66666666669</v>
      </c>
    </row>
    <row r="10" spans="1:14" x14ac:dyDescent="0.25">
      <c r="A10" s="1" t="s">
        <v>21</v>
      </c>
      <c r="B10" s="1">
        <v>25500535</v>
      </c>
      <c r="C10" s="1">
        <v>33305865</v>
      </c>
      <c r="D10" s="1">
        <v>25839567</v>
      </c>
      <c r="E10" s="1">
        <v>27394345</v>
      </c>
      <c r="F10" s="1">
        <v>28028975</v>
      </c>
      <c r="G10" s="1">
        <v>29022828</v>
      </c>
      <c r="H10" s="1">
        <v>29384423</v>
      </c>
      <c r="I10" s="1">
        <v>32032901</v>
      </c>
      <c r="J10" s="1">
        <v>31353532</v>
      </c>
      <c r="K10" s="1">
        <v>31544077</v>
      </c>
      <c r="L10" s="1">
        <v>30945527</v>
      </c>
      <c r="M10" s="1">
        <v>31976622</v>
      </c>
      <c r="N10" s="1">
        <v>31206180.333333332</v>
      </c>
    </row>
    <row r="11" spans="1:14" x14ac:dyDescent="0.25">
      <c r="A11" s="1" t="s">
        <v>22</v>
      </c>
      <c r="B11" s="1">
        <v>12</v>
      </c>
      <c r="C11" s="1">
        <v>16</v>
      </c>
      <c r="D11" s="1">
        <v>16</v>
      </c>
      <c r="E11" s="1">
        <v>10</v>
      </c>
      <c r="F11" s="1">
        <v>6</v>
      </c>
      <c r="G11" s="1">
        <v>5</v>
      </c>
      <c r="H11" s="1">
        <v>12</v>
      </c>
      <c r="I11" s="1">
        <v>10</v>
      </c>
      <c r="J11" s="1">
        <v>11</v>
      </c>
      <c r="K11" s="1">
        <v>8</v>
      </c>
      <c r="L11" s="1">
        <v>9</v>
      </c>
      <c r="M11" s="1">
        <v>10</v>
      </c>
      <c r="N11" s="1">
        <v>9</v>
      </c>
    </row>
    <row r="12" spans="1:14" x14ac:dyDescent="0.25">
      <c r="A12" s="1" t="s">
        <v>23</v>
      </c>
      <c r="B12" s="1">
        <v>82</v>
      </c>
      <c r="C12" s="1">
        <v>89</v>
      </c>
      <c r="D12" s="1">
        <v>85</v>
      </c>
      <c r="E12" s="1">
        <v>75</v>
      </c>
      <c r="F12" s="1">
        <v>65</v>
      </c>
      <c r="G12" s="1">
        <v>61</v>
      </c>
      <c r="H12" s="1">
        <v>58</v>
      </c>
      <c r="I12" s="1">
        <v>59</v>
      </c>
      <c r="J12" s="1">
        <v>47</v>
      </c>
      <c r="K12" s="1">
        <v>65</v>
      </c>
      <c r="L12" s="1">
        <v>67</v>
      </c>
      <c r="M12" s="1">
        <v>84</v>
      </c>
      <c r="N12" s="1">
        <v>63.333333333333336</v>
      </c>
    </row>
    <row r="13" spans="1:14" x14ac:dyDescent="0.25">
      <c r="A13" s="1" t="s">
        <v>24</v>
      </c>
      <c r="B13" s="1">
        <v>2263</v>
      </c>
      <c r="C13" s="1">
        <v>2237</v>
      </c>
      <c r="D13" s="1">
        <v>1738</v>
      </c>
      <c r="E13" s="1">
        <v>1693</v>
      </c>
      <c r="F13" s="1">
        <v>1239</v>
      </c>
      <c r="G13" s="1">
        <v>1539</v>
      </c>
      <c r="H13" s="1">
        <v>1093</v>
      </c>
      <c r="I13" s="1">
        <v>1382</v>
      </c>
      <c r="J13" s="1">
        <v>938</v>
      </c>
      <c r="K13" s="1">
        <v>1286</v>
      </c>
      <c r="L13" s="1">
        <v>1435</v>
      </c>
      <c r="M13" s="1">
        <v>1678</v>
      </c>
      <c r="N13" s="1">
        <v>1302</v>
      </c>
    </row>
    <row r="14" spans="1:14" x14ac:dyDescent="0.25">
      <c r="A14" s="1" t="s">
        <v>25</v>
      </c>
      <c r="B14" s="1">
        <v>956250</v>
      </c>
      <c r="C14" s="1">
        <v>1226182</v>
      </c>
      <c r="D14" s="1">
        <v>1016152</v>
      </c>
      <c r="E14" s="1">
        <v>1049065</v>
      </c>
      <c r="F14" s="1">
        <v>1061122</v>
      </c>
      <c r="G14" s="1">
        <v>1188152</v>
      </c>
      <c r="H14" s="1">
        <v>1091449</v>
      </c>
      <c r="I14" s="1">
        <v>1272152</v>
      </c>
      <c r="J14" s="1">
        <v>1342152</v>
      </c>
      <c r="K14" s="1">
        <v>1345122</v>
      </c>
      <c r="L14" s="1">
        <v>1348740</v>
      </c>
      <c r="M14" s="1">
        <v>1356119</v>
      </c>
      <c r="N14" s="1">
        <v>1292622.3333333333</v>
      </c>
    </row>
    <row r="15" spans="1:14" x14ac:dyDescent="0.25">
      <c r="A15" s="1" t="s">
        <v>26</v>
      </c>
      <c r="B15" s="1">
        <v>4.53</v>
      </c>
      <c r="C15" s="1">
        <v>4.49</v>
      </c>
      <c r="D15" s="1">
        <v>4.51</v>
      </c>
      <c r="E15" s="1">
        <v>4.57</v>
      </c>
      <c r="F15" s="1">
        <v>4.62</v>
      </c>
      <c r="G15" s="1">
        <v>4.63</v>
      </c>
      <c r="H15" s="1">
        <v>4.5199999999999996</v>
      </c>
      <c r="I15" s="1">
        <v>4.51</v>
      </c>
      <c r="J15" s="1">
        <v>4.55</v>
      </c>
      <c r="K15" s="1">
        <v>4.5199999999999996</v>
      </c>
      <c r="L15" s="1">
        <v>4.51</v>
      </c>
      <c r="M15" s="1">
        <v>4.5</v>
      </c>
      <c r="N15" s="1">
        <v>4.5183333333333335</v>
      </c>
    </row>
    <row r="16" spans="1:14" x14ac:dyDescent="0.25">
      <c r="A16" s="1" t="s">
        <v>27</v>
      </c>
      <c r="B16" s="1">
        <v>0.86</v>
      </c>
      <c r="C16" s="1">
        <v>0.98</v>
      </c>
      <c r="D16" s="1">
        <v>0.93</v>
      </c>
      <c r="E16" s="1">
        <v>0.94</v>
      </c>
      <c r="F16" s="1">
        <v>0.9</v>
      </c>
      <c r="G16" s="1">
        <v>0.89</v>
      </c>
      <c r="H16" s="1">
        <v>0.9</v>
      </c>
      <c r="I16" s="1">
        <v>0.92</v>
      </c>
      <c r="J16" s="1">
        <v>0.9</v>
      </c>
      <c r="K16" s="1">
        <v>0.9</v>
      </c>
      <c r="L16" s="1">
        <v>0.89</v>
      </c>
      <c r="M16" s="1">
        <v>0.92</v>
      </c>
      <c r="N16" s="1">
        <v>0.92</v>
      </c>
    </row>
    <row r="17" spans="1:14" x14ac:dyDescent="0.25">
      <c r="A17" s="1" t="s">
        <v>28</v>
      </c>
      <c r="B17" s="1">
        <v>0.54836045596690419</v>
      </c>
      <c r="C17" s="1">
        <v>0.55136667370746861</v>
      </c>
      <c r="D17" s="1">
        <v>0.62030385416288125</v>
      </c>
      <c r="E17" s="1">
        <v>0.56160397337479684</v>
      </c>
      <c r="F17" s="1">
        <v>9.0206045708057472E-2</v>
      </c>
      <c r="G17" s="1">
        <v>0.5422918814114186</v>
      </c>
      <c r="H17" s="1">
        <v>0.52369529257048875</v>
      </c>
      <c r="I17" s="1">
        <v>0.54283041676431365</v>
      </c>
      <c r="J17" s="1">
        <v>0.5561301674082525</v>
      </c>
      <c r="K17" s="1">
        <v>0.55746677894553709</v>
      </c>
      <c r="L17" s="1">
        <v>0.56407325039253653</v>
      </c>
      <c r="M17" s="1">
        <v>0.57438315404297557</v>
      </c>
      <c r="N17" s="1">
        <v>0.58109082099452924</v>
      </c>
    </row>
    <row r="18" spans="1:14" x14ac:dyDescent="0.25">
      <c r="A18" s="1" t="s">
        <v>29</v>
      </c>
      <c r="B18" s="1">
        <v>14.716601568627452</v>
      </c>
      <c r="C18" s="1">
        <v>18.98820758989222</v>
      </c>
      <c r="D18" s="1">
        <v>17.995738643805833</v>
      </c>
      <c r="E18" s="1">
        <v>17.89643011806357</v>
      </c>
      <c r="F18" s="1">
        <v>16.385882281333693</v>
      </c>
      <c r="G18" s="1">
        <v>19.631688849488739</v>
      </c>
      <c r="H18" s="1">
        <v>16.229779444025866</v>
      </c>
      <c r="I18" s="1">
        <v>18.030012955252616</v>
      </c>
      <c r="J18" s="1">
        <v>13.789221006148814</v>
      </c>
      <c r="K18" s="1">
        <v>15.079845941430762</v>
      </c>
      <c r="L18" s="1">
        <v>19.795783511642544</v>
      </c>
      <c r="M18" s="1">
        <v>19.403222023725075</v>
      </c>
      <c r="N18" s="1">
        <v>19.558313447943732</v>
      </c>
    </row>
    <row r="19" spans="1:14" x14ac:dyDescent="0.25">
      <c r="A19" s="1" t="s">
        <v>30</v>
      </c>
      <c r="B19" s="1">
        <v>43.869756862745099</v>
      </c>
      <c r="C19" s="1">
        <v>48.918586871393792</v>
      </c>
      <c r="D19" s="1">
        <v>52.485994682105151</v>
      </c>
      <c r="E19" s="1">
        <v>48.631357177853992</v>
      </c>
      <c r="F19" s="1">
        <v>7.8919731314026729</v>
      </c>
      <c r="G19" s="1">
        <v>47.782660967138661</v>
      </c>
      <c r="H19" s="1">
        <v>46.563617493184218</v>
      </c>
      <c r="I19" s="1">
        <v>48.654760705571597</v>
      </c>
      <c r="J19" s="1">
        <v>50.194151141100342</v>
      </c>
      <c r="K19" s="1">
        <v>50.476714680200018</v>
      </c>
      <c r="L19" s="1">
        <v>49.9329023399508</v>
      </c>
      <c r="M19" s="1">
        <v>53.179701366348844</v>
      </c>
      <c r="N19" s="1">
        <v>52.344318904558783</v>
      </c>
    </row>
    <row r="20" spans="1:14" x14ac:dyDescent="0.25">
      <c r="A20" s="1" t="s">
        <v>31</v>
      </c>
      <c r="B20" s="1">
        <v>3</v>
      </c>
      <c r="C20" s="1">
        <v>3.266386782953377</v>
      </c>
      <c r="D20" s="1">
        <v>3.3274565792575905</v>
      </c>
      <c r="E20" s="1">
        <v>3.3161005832055759</v>
      </c>
      <c r="F20" s="1">
        <v>3.3121351919943565</v>
      </c>
      <c r="G20" s="1">
        <v>3.6071940349258007</v>
      </c>
      <c r="H20" s="1">
        <v>3.3025874250717888</v>
      </c>
      <c r="I20" s="1">
        <v>3.5596221431289594</v>
      </c>
      <c r="J20" s="1">
        <v>3.8635976325910231</v>
      </c>
      <c r="K20" s="1">
        <v>3.8611434837272585</v>
      </c>
      <c r="L20" s="1">
        <v>3.8581726643400653</v>
      </c>
      <c r="M20" s="1">
        <v>3.9265345003807477</v>
      </c>
      <c r="N20" s="1">
        <v>3.731269165746967</v>
      </c>
    </row>
    <row r="21" spans="1:14" x14ac:dyDescent="0.25">
      <c r="A21" s="1" t="s">
        <v>32</v>
      </c>
      <c r="B21" s="1">
        <v>0.1839536601879137</v>
      </c>
      <c r="C21" s="1">
        <v>0.21401813764632743</v>
      </c>
      <c r="D21" s="1">
        <v>0.21268199463249521</v>
      </c>
      <c r="E21" s="1">
        <v>0.20667130935234992</v>
      </c>
      <c r="F21" s="1">
        <v>0.18729228057750955</v>
      </c>
      <c r="G21" s="1">
        <v>0.22280269172942069</v>
      </c>
      <c r="H21" s="1">
        <v>0.18253433800622867</v>
      </c>
      <c r="I21" s="1">
        <v>0.2011568714928442</v>
      </c>
      <c r="J21" s="1">
        <v>0.15277879219476773</v>
      </c>
      <c r="K21" s="1">
        <v>0.16654239875207</v>
      </c>
      <c r="L21" s="1">
        <v>0.22362553399074445</v>
      </c>
      <c r="M21" s="1">
        <v>0.20957026042338056</v>
      </c>
      <c r="N21" s="1">
        <v>0.21712301652938593</v>
      </c>
    </row>
    <row r="22" spans="1:14" x14ac:dyDescent="0.25">
      <c r="A22" s="1" t="s">
        <v>33</v>
      </c>
      <c r="B22" s="1">
        <v>263.92399448879831</v>
      </c>
      <c r="C22" s="1">
        <v>287.66614972508108</v>
      </c>
      <c r="D22" s="1">
        <v>315.30831726797027</v>
      </c>
      <c r="E22" s="1">
        <v>313.73165708226276</v>
      </c>
      <c r="F22" s="1">
        <v>49.539225674987264</v>
      </c>
      <c r="G22" s="1">
        <v>291.25511676968057</v>
      </c>
      <c r="H22" s="1">
        <v>273.16512230624488</v>
      </c>
      <c r="I22" s="1">
        <v>294.75417422406048</v>
      </c>
      <c r="J22" s="1">
        <v>288.7435417632642</v>
      </c>
      <c r="K22" s="1">
        <v>291.21580219925806</v>
      </c>
      <c r="L22" s="1">
        <v>287.27258364465217</v>
      </c>
      <c r="M22" s="1">
        <v>300.9081719584521</v>
      </c>
      <c r="N22" s="1">
        <v>304.00041827326066</v>
      </c>
    </row>
    <row r="25" spans="1:14" x14ac:dyDescent="0.25">
      <c r="A25" s="1" t="s">
        <v>34</v>
      </c>
    </row>
    <row r="26" spans="1:14" x14ac:dyDescent="0.25">
      <c r="A26" s="1" t="s">
        <v>1</v>
      </c>
      <c r="B26" s="1" t="s">
        <v>2</v>
      </c>
      <c r="C26" s="1" t="s">
        <v>3</v>
      </c>
      <c r="D26" s="1" t="s">
        <v>4</v>
      </c>
      <c r="E26" s="1" t="s">
        <v>5</v>
      </c>
      <c r="F26" s="1" t="s">
        <v>6</v>
      </c>
      <c r="G26" s="1" t="s">
        <v>7</v>
      </c>
      <c r="H26" s="1" t="s">
        <v>8</v>
      </c>
      <c r="I26" s="1" t="s">
        <v>9</v>
      </c>
      <c r="J26" s="1" t="s">
        <v>10</v>
      </c>
      <c r="K26" s="1" t="s">
        <v>11</v>
      </c>
      <c r="L26" s="1" t="s">
        <v>12</v>
      </c>
      <c r="M26" s="1" t="s">
        <v>13</v>
      </c>
      <c r="N26" s="1" t="s">
        <v>35</v>
      </c>
    </row>
    <row r="27" spans="1:14" x14ac:dyDescent="0.25">
      <c r="A27" s="1" t="s">
        <v>14</v>
      </c>
      <c r="B27" s="1">
        <v>15000000</v>
      </c>
      <c r="C27" s="1">
        <v>17500000</v>
      </c>
      <c r="D27" s="1">
        <v>15500000</v>
      </c>
      <c r="E27" s="1">
        <v>15250000</v>
      </c>
      <c r="F27" s="1">
        <v>15500000</v>
      </c>
      <c r="G27" s="1">
        <v>1625000</v>
      </c>
      <c r="H27" s="1">
        <v>16250000</v>
      </c>
      <c r="I27" s="1">
        <v>16750000</v>
      </c>
      <c r="J27" s="1">
        <v>17250000</v>
      </c>
      <c r="K27" s="1">
        <v>17750000</v>
      </c>
      <c r="L27" s="1">
        <v>17500000</v>
      </c>
      <c r="M27" s="1">
        <v>17750000</v>
      </c>
      <c r="N27" s="1">
        <v>18000000</v>
      </c>
    </row>
    <row r="28" spans="1:14" x14ac:dyDescent="0.25">
      <c r="A28" s="1" t="s">
        <v>15</v>
      </c>
      <c r="B28" s="1">
        <v>10500000</v>
      </c>
      <c r="C28" s="1">
        <v>12250000</v>
      </c>
      <c r="D28" s="1">
        <v>10850000</v>
      </c>
      <c r="E28" s="1">
        <v>10675000</v>
      </c>
      <c r="F28" s="1">
        <v>10850000</v>
      </c>
      <c r="G28" s="1">
        <v>1137500</v>
      </c>
      <c r="H28" s="1">
        <v>11375000</v>
      </c>
      <c r="I28" s="1">
        <v>11725000</v>
      </c>
      <c r="J28" s="1">
        <v>12075000</v>
      </c>
      <c r="K28" s="1">
        <v>12425000</v>
      </c>
      <c r="L28" s="1">
        <v>12250000</v>
      </c>
      <c r="M28" s="1">
        <v>12425000</v>
      </c>
      <c r="N28" s="1">
        <v>12600000</v>
      </c>
    </row>
    <row r="29" spans="1:14" x14ac:dyDescent="0.25">
      <c r="A29" s="1" t="s">
        <v>16</v>
      </c>
      <c r="B29" s="1">
        <v>4500000</v>
      </c>
      <c r="C29" s="1">
        <v>5250000</v>
      </c>
      <c r="D29" s="1">
        <v>4650000</v>
      </c>
      <c r="E29" s="1">
        <v>4575000</v>
      </c>
      <c r="F29" s="1">
        <v>4650000</v>
      </c>
      <c r="G29" s="1">
        <v>487500</v>
      </c>
      <c r="H29" s="1">
        <v>4875000</v>
      </c>
      <c r="I29" s="1">
        <v>5025000</v>
      </c>
      <c r="J29" s="1">
        <v>5175000</v>
      </c>
      <c r="K29" s="1">
        <v>5325000</v>
      </c>
      <c r="L29" s="1">
        <v>5250000</v>
      </c>
      <c r="M29" s="1">
        <v>5325000</v>
      </c>
      <c r="N29" s="1">
        <v>5400000</v>
      </c>
    </row>
    <row r="30" spans="1:14" x14ac:dyDescent="0.25">
      <c r="A30" s="1" t="s">
        <v>17</v>
      </c>
      <c r="B30" s="1">
        <v>0.43</v>
      </c>
      <c r="C30" s="1">
        <v>0.45</v>
      </c>
      <c r="D30" s="1">
        <v>0.45</v>
      </c>
      <c r="E30" s="1">
        <v>0.45</v>
      </c>
      <c r="F30" s="1">
        <v>0.45</v>
      </c>
      <c r="G30" s="1">
        <v>0.45</v>
      </c>
      <c r="H30" s="1">
        <v>0.45</v>
      </c>
      <c r="I30" s="1">
        <v>0.46</v>
      </c>
      <c r="J30" s="1">
        <v>0.46</v>
      </c>
      <c r="K30" s="1">
        <v>0.46</v>
      </c>
      <c r="L30" s="1">
        <v>0.46</v>
      </c>
      <c r="M30" s="1">
        <v>0.46</v>
      </c>
      <c r="N30" s="1">
        <v>0.52</v>
      </c>
    </row>
    <row r="31" spans="1:14" x14ac:dyDescent="0.25">
      <c r="A31" s="1" t="s">
        <v>18</v>
      </c>
      <c r="B31" s="1">
        <v>420</v>
      </c>
      <c r="C31" s="1">
        <v>500</v>
      </c>
      <c r="D31" s="1">
        <v>425</v>
      </c>
      <c r="E31" s="1">
        <v>426</v>
      </c>
      <c r="F31" s="1">
        <v>427</v>
      </c>
      <c r="G31" s="1">
        <v>427</v>
      </c>
      <c r="H31" s="1">
        <v>430</v>
      </c>
      <c r="I31" s="1">
        <v>430</v>
      </c>
      <c r="J31" s="1">
        <v>440</v>
      </c>
      <c r="K31" s="1">
        <v>440</v>
      </c>
      <c r="L31" s="1">
        <v>440</v>
      </c>
      <c r="M31" s="1">
        <v>440</v>
      </c>
      <c r="N31" s="1">
        <v>500</v>
      </c>
    </row>
    <row r="32" spans="1:14" x14ac:dyDescent="0.25">
      <c r="A32" s="1" t="s">
        <v>19</v>
      </c>
      <c r="B32" s="1">
        <v>50000</v>
      </c>
      <c r="C32" s="1">
        <v>60000</v>
      </c>
      <c r="D32" s="1">
        <v>50000</v>
      </c>
      <c r="E32" s="1">
        <v>51000</v>
      </c>
      <c r="F32" s="1">
        <v>52000</v>
      </c>
      <c r="G32" s="1">
        <v>53000</v>
      </c>
      <c r="H32" s="1">
        <v>55000</v>
      </c>
      <c r="I32" s="1">
        <v>57000</v>
      </c>
      <c r="J32" s="1">
        <v>59000</v>
      </c>
      <c r="K32" s="1">
        <v>60000</v>
      </c>
      <c r="L32" s="1">
        <v>61000</v>
      </c>
      <c r="M32" s="1">
        <v>62000</v>
      </c>
      <c r="N32" s="1">
        <v>65000</v>
      </c>
    </row>
    <row r="33" spans="1:14" x14ac:dyDescent="0.25">
      <c r="A33" s="1" t="s">
        <v>20</v>
      </c>
      <c r="B33" s="1">
        <v>300000</v>
      </c>
      <c r="C33" s="1">
        <v>350000</v>
      </c>
      <c r="D33" s="1">
        <v>310000</v>
      </c>
      <c r="E33" s="1">
        <v>305000</v>
      </c>
      <c r="F33" s="1">
        <v>310000</v>
      </c>
      <c r="G33" s="1">
        <v>32500</v>
      </c>
      <c r="H33" s="1">
        <v>325000</v>
      </c>
      <c r="I33" s="1">
        <v>335000</v>
      </c>
      <c r="J33" s="1">
        <v>345000</v>
      </c>
      <c r="K33" s="1">
        <v>355000</v>
      </c>
      <c r="L33" s="1">
        <v>350000</v>
      </c>
      <c r="M33" s="1">
        <v>355000</v>
      </c>
      <c r="N33" s="1">
        <v>395000</v>
      </c>
    </row>
    <row r="34" spans="1:14" x14ac:dyDescent="0.25">
      <c r="A34" s="1" t="s">
        <v>21</v>
      </c>
      <c r="B34" s="1">
        <v>30000000</v>
      </c>
      <c r="C34" s="1">
        <v>35000000</v>
      </c>
      <c r="D34" s="1">
        <v>31000000</v>
      </c>
      <c r="E34" s="1">
        <v>30500000</v>
      </c>
      <c r="F34" s="1">
        <v>31000000</v>
      </c>
      <c r="G34" s="1">
        <v>3250000</v>
      </c>
      <c r="H34" s="1">
        <v>32500000</v>
      </c>
      <c r="I34" s="1">
        <v>33500000</v>
      </c>
      <c r="J34" s="1">
        <v>34500000</v>
      </c>
      <c r="K34" s="1">
        <v>35500000</v>
      </c>
      <c r="L34" s="1">
        <v>35000000</v>
      </c>
      <c r="M34" s="1">
        <v>35500000</v>
      </c>
      <c r="N34" s="1">
        <v>36000000</v>
      </c>
    </row>
    <row r="35" spans="1:14" x14ac:dyDescent="0.25">
      <c r="A35" s="1" t="s">
        <v>22</v>
      </c>
      <c r="B35" s="1">
        <v>15</v>
      </c>
      <c r="C35" s="1">
        <v>20</v>
      </c>
      <c r="D35" s="1">
        <v>15</v>
      </c>
      <c r="E35" s="1">
        <v>12</v>
      </c>
      <c r="F35" s="1">
        <v>10</v>
      </c>
      <c r="G35" s="1">
        <v>10</v>
      </c>
      <c r="H35" s="1">
        <v>10</v>
      </c>
      <c r="I35" s="1">
        <v>12</v>
      </c>
      <c r="J35" s="1">
        <v>12</v>
      </c>
      <c r="K35" s="1">
        <v>12</v>
      </c>
      <c r="L35" s="1">
        <v>10</v>
      </c>
      <c r="M35" s="1">
        <v>12</v>
      </c>
      <c r="N35" s="1">
        <v>15</v>
      </c>
    </row>
    <row r="36" spans="1:14" x14ac:dyDescent="0.25">
      <c r="A36" s="1" t="s">
        <v>23</v>
      </c>
      <c r="B36" s="1">
        <v>45</v>
      </c>
      <c r="C36" s="1">
        <v>60</v>
      </c>
      <c r="D36" s="1">
        <v>45</v>
      </c>
      <c r="E36" s="1">
        <v>36</v>
      </c>
      <c r="F36" s="1">
        <v>30</v>
      </c>
      <c r="G36" s="1">
        <v>39</v>
      </c>
      <c r="H36" s="1">
        <v>30</v>
      </c>
      <c r="I36" s="1">
        <v>36</v>
      </c>
      <c r="J36" s="1">
        <v>36</v>
      </c>
      <c r="K36" s="1">
        <v>36</v>
      </c>
      <c r="L36" s="1">
        <v>30</v>
      </c>
      <c r="M36" s="1">
        <v>36</v>
      </c>
      <c r="N36" s="1">
        <v>45</v>
      </c>
    </row>
    <row r="37" spans="1:14" x14ac:dyDescent="0.25">
      <c r="A37" s="1" t="s">
        <v>24</v>
      </c>
      <c r="B37" s="1">
        <v>1000</v>
      </c>
      <c r="C37" s="1">
        <v>1400</v>
      </c>
      <c r="D37" s="1">
        <v>1000</v>
      </c>
      <c r="E37" s="1">
        <v>720</v>
      </c>
      <c r="F37" s="1">
        <v>600</v>
      </c>
      <c r="G37" s="1">
        <v>780</v>
      </c>
      <c r="H37" s="1">
        <v>600</v>
      </c>
      <c r="I37" s="1">
        <v>720</v>
      </c>
      <c r="J37" s="1">
        <v>720</v>
      </c>
      <c r="K37" s="1">
        <v>720</v>
      </c>
      <c r="L37" s="1">
        <v>600</v>
      </c>
      <c r="M37" s="1">
        <v>720</v>
      </c>
      <c r="N37" s="1">
        <v>1000</v>
      </c>
    </row>
    <row r="38" spans="1:14" x14ac:dyDescent="0.25">
      <c r="A38" s="1" t="s">
        <v>25</v>
      </c>
      <c r="B38" s="1">
        <v>900000</v>
      </c>
      <c r="C38" s="1">
        <v>1050000</v>
      </c>
      <c r="D38" s="1">
        <v>930000</v>
      </c>
      <c r="E38" s="1">
        <v>915000</v>
      </c>
      <c r="F38" s="1">
        <v>930000</v>
      </c>
      <c r="G38" s="1">
        <v>97500</v>
      </c>
      <c r="H38" s="1">
        <v>975000</v>
      </c>
      <c r="I38" s="1">
        <v>1005000</v>
      </c>
      <c r="J38" s="1">
        <v>1035000</v>
      </c>
      <c r="K38" s="1">
        <v>1065000</v>
      </c>
      <c r="L38" s="1">
        <v>1050000</v>
      </c>
      <c r="M38" s="1">
        <v>1065000</v>
      </c>
      <c r="N38" s="1">
        <v>1080000</v>
      </c>
    </row>
    <row r="39" spans="1:14" x14ac:dyDescent="0.25">
      <c r="A39" s="1" t="s">
        <v>26</v>
      </c>
      <c r="B39" s="1">
        <v>4.5999999999999996</v>
      </c>
      <c r="C39" s="1">
        <v>4.5999999999999996</v>
      </c>
      <c r="D39" s="1">
        <v>4.7</v>
      </c>
      <c r="E39" s="1">
        <v>4.71</v>
      </c>
      <c r="F39" s="1">
        <v>4.72</v>
      </c>
      <c r="G39" s="1">
        <v>4.7300000000000004</v>
      </c>
      <c r="H39" s="1">
        <v>4.74</v>
      </c>
      <c r="I39" s="1">
        <v>4.75</v>
      </c>
      <c r="J39" s="1">
        <v>4.76</v>
      </c>
      <c r="K39" s="1">
        <v>4.7699999999999996</v>
      </c>
      <c r="L39" s="1">
        <v>4.78</v>
      </c>
      <c r="M39" s="1">
        <v>4.79</v>
      </c>
      <c r="N39" s="1">
        <v>4.8</v>
      </c>
    </row>
    <row r="40" spans="1:14" x14ac:dyDescent="0.25">
      <c r="A40" s="1" t="s">
        <v>27</v>
      </c>
      <c r="B40" s="1">
        <v>0.93</v>
      </c>
      <c r="C40" s="1">
        <v>0.96</v>
      </c>
      <c r="D40" s="1">
        <v>0.9</v>
      </c>
      <c r="E40" s="1">
        <v>0.9</v>
      </c>
      <c r="F40" s="1">
        <v>0.9</v>
      </c>
      <c r="G40" s="1">
        <v>0.9</v>
      </c>
      <c r="H40" s="1">
        <v>0.9</v>
      </c>
      <c r="I40" s="1">
        <v>0.9</v>
      </c>
      <c r="J40" s="1">
        <v>0.9</v>
      </c>
      <c r="K40" s="1">
        <v>0.9</v>
      </c>
      <c r="L40" s="1">
        <v>0.91</v>
      </c>
      <c r="M40" s="1">
        <v>0.92</v>
      </c>
      <c r="N40" s="1">
        <v>0.94</v>
      </c>
    </row>
    <row r="41" spans="1:14" x14ac:dyDescent="0.25">
      <c r="A41" s="1" t="s">
        <v>28</v>
      </c>
      <c r="B41" s="1">
        <v>0.5</v>
      </c>
      <c r="C41" s="1">
        <v>0.5</v>
      </c>
      <c r="D41" s="1">
        <v>0.5</v>
      </c>
      <c r="E41" s="1">
        <v>0.5</v>
      </c>
      <c r="F41" s="1">
        <v>0.5</v>
      </c>
      <c r="G41" s="1">
        <v>0.5</v>
      </c>
      <c r="H41" s="1">
        <v>0.5</v>
      </c>
      <c r="I41" s="1">
        <v>0.5</v>
      </c>
      <c r="J41" s="1">
        <v>0.5</v>
      </c>
      <c r="K41" s="1">
        <v>0.5</v>
      </c>
      <c r="L41" s="1">
        <v>0.5</v>
      </c>
      <c r="M41" s="1">
        <v>0.5</v>
      </c>
      <c r="N41" s="1">
        <v>0.5</v>
      </c>
    </row>
    <row r="42" spans="1:14" x14ac:dyDescent="0.25">
      <c r="A42" s="1" t="s">
        <v>29</v>
      </c>
      <c r="B42" s="1">
        <v>15</v>
      </c>
      <c r="C42" s="1">
        <v>15</v>
      </c>
      <c r="D42" s="1">
        <v>15</v>
      </c>
      <c r="E42" s="1">
        <v>15</v>
      </c>
      <c r="F42" s="1">
        <v>15</v>
      </c>
      <c r="G42" s="1">
        <v>15</v>
      </c>
      <c r="H42" s="1">
        <v>15</v>
      </c>
      <c r="I42" s="1">
        <v>15</v>
      </c>
      <c r="J42" s="1">
        <v>15</v>
      </c>
      <c r="K42" s="1">
        <v>15</v>
      </c>
      <c r="L42" s="1">
        <v>15</v>
      </c>
      <c r="M42" s="1">
        <v>15</v>
      </c>
      <c r="N42" s="1">
        <v>15</v>
      </c>
    </row>
    <row r="43" spans="1:14" x14ac:dyDescent="0.25">
      <c r="A43" s="1" t="s">
        <v>30</v>
      </c>
      <c r="B43" s="1">
        <v>50</v>
      </c>
      <c r="C43" s="1">
        <v>50</v>
      </c>
      <c r="D43" s="1">
        <v>50</v>
      </c>
      <c r="E43" s="1">
        <v>50</v>
      </c>
      <c r="F43" s="1">
        <v>50</v>
      </c>
      <c r="G43" s="1">
        <v>50</v>
      </c>
      <c r="H43" s="1">
        <v>50</v>
      </c>
      <c r="I43" s="1">
        <v>50</v>
      </c>
      <c r="J43" s="1">
        <v>50</v>
      </c>
      <c r="K43" s="1">
        <v>50</v>
      </c>
      <c r="L43" s="1">
        <v>50</v>
      </c>
      <c r="M43" s="1">
        <v>50</v>
      </c>
      <c r="N43" s="1">
        <v>50</v>
      </c>
    </row>
    <row r="44" spans="1:14" x14ac:dyDescent="0.25">
      <c r="A44" s="1" t="s">
        <v>31</v>
      </c>
      <c r="B44" s="1">
        <v>3</v>
      </c>
      <c r="C44" s="1">
        <v>3</v>
      </c>
      <c r="D44" s="1">
        <v>3</v>
      </c>
      <c r="E44" s="1">
        <v>3</v>
      </c>
      <c r="F44" s="1">
        <v>3</v>
      </c>
      <c r="G44" s="1">
        <v>3</v>
      </c>
      <c r="H44" s="1">
        <v>3</v>
      </c>
      <c r="I44" s="1">
        <v>3</v>
      </c>
      <c r="J44" s="1">
        <v>3</v>
      </c>
      <c r="K44" s="1">
        <v>3</v>
      </c>
      <c r="L44" s="1">
        <v>3</v>
      </c>
      <c r="M44" s="1">
        <v>3</v>
      </c>
      <c r="N44" s="1">
        <v>3</v>
      </c>
    </row>
    <row r="45" spans="1:14" x14ac:dyDescent="0.25">
      <c r="A45" s="1" t="s">
        <v>32</v>
      </c>
      <c r="B45" s="1">
        <v>0.15</v>
      </c>
      <c r="C45" s="1">
        <v>0.15</v>
      </c>
      <c r="D45" s="1">
        <v>0.15</v>
      </c>
      <c r="E45" s="1">
        <v>0.15</v>
      </c>
      <c r="F45" s="1">
        <v>0.15</v>
      </c>
      <c r="G45" s="1">
        <v>0.15</v>
      </c>
      <c r="H45" s="1">
        <v>0.15</v>
      </c>
      <c r="I45" s="1">
        <v>0.15</v>
      </c>
      <c r="J45" s="1">
        <v>0.15</v>
      </c>
      <c r="K45" s="1">
        <v>0.15</v>
      </c>
      <c r="L45" s="1">
        <v>0.15</v>
      </c>
      <c r="M45" s="1">
        <v>0.15</v>
      </c>
      <c r="N45" s="1">
        <v>0.15</v>
      </c>
    </row>
    <row r="46" spans="1:14" x14ac:dyDescent="0.25">
      <c r="A46" s="1" t="s">
        <v>33</v>
      </c>
      <c r="B46" s="1">
        <v>300</v>
      </c>
      <c r="C46" s="1">
        <v>291.66666666666669</v>
      </c>
      <c r="D46" s="1">
        <v>310</v>
      </c>
      <c r="E46" s="1">
        <v>299.01960784313724</v>
      </c>
      <c r="F46" s="1">
        <v>298.07692307692309</v>
      </c>
      <c r="G46" s="1">
        <v>30.660377358490567</v>
      </c>
      <c r="H46" s="1">
        <v>295.45454545454544</v>
      </c>
      <c r="I46" s="1">
        <v>293.85964912280701</v>
      </c>
      <c r="J46" s="1">
        <v>292.37288135593218</v>
      </c>
      <c r="K46" s="1">
        <v>295.83333333333331</v>
      </c>
      <c r="L46" s="1">
        <v>286.88524590163934</v>
      </c>
      <c r="M46" s="1">
        <v>286.29032258064518</v>
      </c>
      <c r="N46" s="1">
        <v>276.92307692307691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13D3A-FB65-497F-9617-1299B9A31356}">
  <dimension ref="D5:G29"/>
  <sheetViews>
    <sheetView tabSelected="1" topLeftCell="A4" workbookViewId="0">
      <selection activeCell="D7" sqref="D7"/>
    </sheetView>
  </sheetViews>
  <sheetFormatPr baseColWidth="10" defaultRowHeight="15" x14ac:dyDescent="0.25"/>
  <cols>
    <col min="4" max="4" width="20.7109375" bestFit="1" customWidth="1"/>
    <col min="5" max="5" width="22.42578125" bestFit="1" customWidth="1"/>
    <col min="6" max="6" width="12" bestFit="1" customWidth="1"/>
    <col min="7" max="7" width="12.5703125" bestFit="1" customWidth="1"/>
  </cols>
  <sheetData>
    <row r="5" spans="4:7" x14ac:dyDescent="0.25">
      <c r="D5" s="2" t="s">
        <v>40</v>
      </c>
      <c r="E5" t="s" vm="1">
        <v>13</v>
      </c>
    </row>
    <row r="7" spans="4:7" x14ac:dyDescent="0.25">
      <c r="D7" s="2" t="s">
        <v>39</v>
      </c>
      <c r="E7" s="2" t="s">
        <v>38</v>
      </c>
    </row>
    <row r="8" spans="4:7" x14ac:dyDescent="0.25">
      <c r="D8" s="2" t="s">
        <v>36</v>
      </c>
      <c r="E8" t="s">
        <v>0</v>
      </c>
      <c r="F8" t="s">
        <v>34</v>
      </c>
      <c r="G8" t="s">
        <v>37</v>
      </c>
    </row>
    <row r="9" spans="4:7" x14ac:dyDescent="0.25">
      <c r="D9" s="3" t="s">
        <v>15</v>
      </c>
      <c r="E9" s="4">
        <v>11665484</v>
      </c>
      <c r="F9" s="4">
        <v>12425000</v>
      </c>
      <c r="G9" s="4">
        <v>24090484</v>
      </c>
    </row>
    <row r="10" spans="4:7" x14ac:dyDescent="0.25">
      <c r="D10" s="3" t="s">
        <v>25</v>
      </c>
      <c r="E10" s="4">
        <v>1356119</v>
      </c>
      <c r="F10" s="4">
        <v>1065000</v>
      </c>
      <c r="G10" s="4">
        <v>2421119</v>
      </c>
    </row>
    <row r="11" spans="4:7" x14ac:dyDescent="0.25">
      <c r="D11" s="3" t="s">
        <v>16</v>
      </c>
      <c r="E11" s="4">
        <v>6701349</v>
      </c>
      <c r="F11" s="4">
        <v>5325000</v>
      </c>
      <c r="G11" s="4">
        <v>12026349</v>
      </c>
    </row>
    <row r="12" spans="4:7" x14ac:dyDescent="0.25">
      <c r="D12" s="3" t="s">
        <v>14</v>
      </c>
      <c r="E12" s="4">
        <v>18366833</v>
      </c>
      <c r="F12" s="4">
        <v>17750000</v>
      </c>
      <c r="G12" s="4">
        <v>36116833</v>
      </c>
    </row>
    <row r="13" spans="4:7" x14ac:dyDescent="0.25">
      <c r="D13" s="3" t="s">
        <v>22</v>
      </c>
      <c r="E13" s="4">
        <v>10</v>
      </c>
      <c r="F13" s="4">
        <v>12</v>
      </c>
      <c r="G13" s="4">
        <v>22</v>
      </c>
    </row>
    <row r="14" spans="4:7" x14ac:dyDescent="0.25">
      <c r="D14" s="3" t="s">
        <v>26</v>
      </c>
      <c r="E14" s="4">
        <v>4.5</v>
      </c>
      <c r="F14" s="4">
        <v>4.79</v>
      </c>
      <c r="G14" s="4">
        <v>9.2899999999999991</v>
      </c>
    </row>
    <row r="15" spans="4:7" x14ac:dyDescent="0.25">
      <c r="D15" s="3" t="s">
        <v>27</v>
      </c>
      <c r="E15" s="4">
        <v>0.92</v>
      </c>
      <c r="F15" s="4">
        <v>0.92</v>
      </c>
      <c r="G15" s="4">
        <v>1.84</v>
      </c>
    </row>
    <row r="16" spans="4:7" x14ac:dyDescent="0.25">
      <c r="D16" s="3" t="s">
        <v>18</v>
      </c>
      <c r="E16" s="4">
        <v>446</v>
      </c>
      <c r="F16" s="4">
        <v>440</v>
      </c>
      <c r="G16" s="4">
        <v>886</v>
      </c>
    </row>
    <row r="17" spans="4:7" x14ac:dyDescent="0.25">
      <c r="D17" s="3" t="s">
        <v>31</v>
      </c>
      <c r="E17" s="4">
        <v>3.9265345003807477</v>
      </c>
      <c r="F17" s="4">
        <v>3</v>
      </c>
      <c r="G17" s="4">
        <v>6.9265345003807477</v>
      </c>
    </row>
    <row r="18" spans="4:7" x14ac:dyDescent="0.25">
      <c r="D18" s="3" t="s">
        <v>23</v>
      </c>
      <c r="E18" s="4">
        <v>84</v>
      </c>
      <c r="F18" s="4">
        <v>36</v>
      </c>
      <c r="G18" s="4">
        <v>120</v>
      </c>
    </row>
    <row r="19" spans="4:7" x14ac:dyDescent="0.25">
      <c r="D19" s="3" t="s">
        <v>17</v>
      </c>
      <c r="E19" s="4">
        <v>0.47</v>
      </c>
      <c r="F19" s="4">
        <v>0.46</v>
      </c>
      <c r="G19" s="4">
        <v>0.92999999999999994</v>
      </c>
    </row>
    <row r="20" spans="4:7" x14ac:dyDescent="0.25">
      <c r="D20" s="3" t="s">
        <v>20</v>
      </c>
      <c r="E20" s="4">
        <v>345373</v>
      </c>
      <c r="F20" s="4">
        <v>355000</v>
      </c>
      <c r="G20" s="4">
        <v>700373</v>
      </c>
    </row>
    <row r="21" spans="4:7" x14ac:dyDescent="0.25">
      <c r="D21" s="3" t="s">
        <v>24</v>
      </c>
      <c r="E21" s="4">
        <v>1678</v>
      </c>
      <c r="F21" s="4">
        <v>720</v>
      </c>
      <c r="G21" s="4">
        <v>2398</v>
      </c>
    </row>
    <row r="22" spans="4:7" x14ac:dyDescent="0.25">
      <c r="D22" s="3" t="s">
        <v>19</v>
      </c>
      <c r="E22" s="4">
        <v>61038</v>
      </c>
      <c r="F22" s="4">
        <v>62000</v>
      </c>
      <c r="G22" s="4">
        <v>123038</v>
      </c>
    </row>
    <row r="23" spans="4:7" x14ac:dyDescent="0.25">
      <c r="D23" s="3" t="s">
        <v>29</v>
      </c>
      <c r="E23" s="4">
        <v>19.403222023725075</v>
      </c>
      <c r="F23" s="4">
        <v>15</v>
      </c>
      <c r="G23" s="4">
        <v>34.403222023725078</v>
      </c>
    </row>
    <row r="24" spans="4:7" x14ac:dyDescent="0.25">
      <c r="D24" s="3" t="s">
        <v>32</v>
      </c>
      <c r="E24" s="4">
        <v>0.20957026042338056</v>
      </c>
      <c r="F24" s="4">
        <v>0.15</v>
      </c>
      <c r="G24" s="4">
        <v>0.35957026042338058</v>
      </c>
    </row>
    <row r="25" spans="4:7" x14ac:dyDescent="0.25">
      <c r="D25" s="3" t="s">
        <v>21</v>
      </c>
      <c r="E25" s="4">
        <v>31976622</v>
      </c>
      <c r="F25" s="4">
        <v>35500000</v>
      </c>
      <c r="G25" s="4">
        <v>67476622</v>
      </c>
    </row>
    <row r="26" spans="4:7" x14ac:dyDescent="0.25">
      <c r="D26" s="3" t="s">
        <v>30</v>
      </c>
      <c r="E26" s="4">
        <v>53.179701366348844</v>
      </c>
      <c r="F26" s="4">
        <v>50</v>
      </c>
      <c r="G26" s="4">
        <v>103.17970136634884</v>
      </c>
    </row>
    <row r="27" spans="4:7" x14ac:dyDescent="0.25">
      <c r="D27" s="3" t="s">
        <v>33</v>
      </c>
      <c r="E27" s="4">
        <v>300.9081719584521</v>
      </c>
      <c r="F27" s="4">
        <v>286.29032258064518</v>
      </c>
      <c r="G27" s="4">
        <v>587.19849453909728</v>
      </c>
    </row>
    <row r="28" spans="4:7" x14ac:dyDescent="0.25">
      <c r="D28" s="3" t="s">
        <v>28</v>
      </c>
      <c r="E28" s="4">
        <v>0.57438315404297557</v>
      </c>
      <c r="F28" s="4">
        <v>0.5</v>
      </c>
      <c r="G28" s="4">
        <v>1.0743831540429756</v>
      </c>
    </row>
    <row r="29" spans="4:7" x14ac:dyDescent="0.25">
      <c r="D29" s="3" t="s">
        <v>37</v>
      </c>
      <c r="E29" s="4">
        <v>70475420.091583267</v>
      </c>
      <c r="F29" s="4">
        <v>72483569.11032261</v>
      </c>
      <c r="G29" s="4">
        <v>142958989.20190582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DBA6DC8B641994792C36C81DCB75C72" ma:contentTypeVersion="12" ma:contentTypeDescription="Crear nuevo documento." ma:contentTypeScope="" ma:versionID="5b016b18d10b3d9f7de7f7efc665ad6c">
  <xsd:schema xmlns:xsd="http://www.w3.org/2001/XMLSchema" xmlns:xs="http://www.w3.org/2001/XMLSchema" xmlns:p="http://schemas.microsoft.com/office/2006/metadata/properties" xmlns:ns2="789b8e19-23fb-4d58-ba2a-719f878591ed" xmlns:ns3="4dcc97b3-1ecc-4cd5-a7fe-888f0180f015" targetNamespace="http://schemas.microsoft.com/office/2006/metadata/properties" ma:root="true" ma:fieldsID="a5d0fec1dd451cac6f88134ec00b2b64" ns2:_="" ns3:_="">
    <xsd:import namespace="789b8e19-23fb-4d58-ba2a-719f878591ed"/>
    <xsd:import namespace="4dcc97b3-1ecc-4cd5-a7fe-888f0180f0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9b8e19-23fb-4d58-ba2a-719f878591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cc97b3-1ecc-4cd5-a7fe-888f0180f01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Props1.xml><?xml version="1.0" encoding="utf-8"?>
<ds:datastoreItem xmlns:ds="http://schemas.openxmlformats.org/officeDocument/2006/customXml" ds:itemID="{5C0700F3-C0A7-423A-9C81-939E2B29BADB}"/>
</file>

<file path=customXml/itemProps2.xml><?xml version="1.0" encoding="utf-8"?>
<ds:datastoreItem xmlns:ds="http://schemas.openxmlformats.org/officeDocument/2006/customXml" ds:itemID="{A8370D6E-D46D-4991-817F-1E487EAC093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B557698-ED1F-46AB-975B-F0FA456FDF7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0C7B215-B56F-4611-AA94-B54BBFFC4D57}">
  <ds:schemaRefs>
    <ds:schemaRef ds:uri="http://schemas.microsoft.com/DataMashup"/>
  </ds:schemaRefs>
</ds:datastoreItem>
</file>

<file path=customXml/itemProps5.xml><?xml version="1.0" encoding="utf-8"?>
<ds:datastoreItem xmlns:ds="http://schemas.openxmlformats.org/officeDocument/2006/customXml" ds:itemID="{960D93E7-7696-48FB-B0B3-BE115222840A}">
  <ds:schemaRefs/>
</ds:datastoreItem>
</file>

<file path=customXml/itemProps6.xml><?xml version="1.0" encoding="utf-8"?>
<ds:datastoreItem xmlns:ds="http://schemas.openxmlformats.org/officeDocument/2006/customXml" ds:itemID="{C424C772-14C6-45F4-BB1F-E113D254F7FA}">
  <ds:schemaRefs/>
</ds:datastoreItem>
</file>

<file path=customXml/itemProps7.xml><?xml version="1.0" encoding="utf-8"?>
<ds:datastoreItem xmlns:ds="http://schemas.openxmlformats.org/officeDocument/2006/customXml" ds:itemID="{69704150-34B9-49BA-8C08-ABE1EE4198D8}">
  <ds:schemaRefs/>
</ds:datastoreItem>
</file>

<file path=customXml/itemProps8.xml><?xml version="1.0" encoding="utf-8"?>
<ds:datastoreItem xmlns:ds="http://schemas.openxmlformats.org/officeDocument/2006/customXml" ds:itemID="{C4E900E2-8A8B-4775-B093-148C1B64CAE4}">
  <ds:schemaRefs/>
</ds:datastoreItem>
</file>

<file path=customXml/itemProps9.xml><?xml version="1.0" encoding="utf-8"?>
<ds:datastoreItem xmlns:ds="http://schemas.openxmlformats.org/officeDocument/2006/customXml" ds:itemID="{C840159A-7F42-465E-B4A6-7CE70794294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Virginia Pinilla</dc:creator>
  <cp:lastModifiedBy>Benito Cuezva</cp:lastModifiedBy>
  <dcterms:created xsi:type="dcterms:W3CDTF">2016-04-11T18:24:01Z</dcterms:created>
  <dcterms:modified xsi:type="dcterms:W3CDTF">2020-11-09T19:35:23Z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0x010100DDBA6DC8B641994792C36C81DCB75C72</vt:lpwstr>
  </property>
</Properties>
</file>